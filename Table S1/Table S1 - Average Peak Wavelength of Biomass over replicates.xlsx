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6/"/>
    </mc:Choice>
  </mc:AlternateContent>
  <xr:revisionPtr revIDLastSave="30" documentId="8_{C0F8E89F-12D3-E046-81FA-BCAEB4014122}" xr6:coauthVersionLast="47" xr6:coauthVersionMax="47" xr10:uidLastSave="{AACC7943-DF2A-FF4E-A6F9-83165AB6B2EC}"/>
  <bookViews>
    <workbookView xWindow="28800" yWindow="620" windowWidth="38400" windowHeight="20980" xr2:uid="{0DB2DBE0-02E6-724B-8135-BCAA9937E675}"/>
  </bookViews>
  <sheets>
    <sheet name="avg biomass peak wavelength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/>
  <c r="D19" i="1"/>
  <c r="E19" i="1"/>
  <c r="D20" i="1"/>
  <c r="E20" i="1"/>
  <c r="D21" i="1"/>
  <c r="E21" i="1"/>
  <c r="D22" i="1"/>
  <c r="E22" i="1"/>
  <c r="D23" i="1"/>
  <c r="E23" i="1"/>
  <c r="C23" i="1"/>
  <c r="C22" i="1"/>
  <c r="C21" i="1"/>
  <c r="C20" i="1"/>
  <c r="C19" i="1"/>
  <c r="C18" i="1"/>
  <c r="F9" i="1"/>
  <c r="G9" i="1"/>
  <c r="F10" i="1" l="1"/>
  <c r="G10" i="1"/>
  <c r="G14" i="1"/>
  <c r="F14" i="1"/>
  <c r="G12" i="1"/>
  <c r="F12" i="1"/>
  <c r="G11" i="1"/>
  <c r="F11" i="1"/>
  <c r="F13" i="1"/>
  <c r="G13" i="1"/>
</calcChain>
</file>

<file path=xl/sharedStrings.xml><?xml version="1.0" encoding="utf-8"?>
<sst xmlns="http://schemas.openxmlformats.org/spreadsheetml/2006/main" count="22" uniqueCount="17">
  <si>
    <t>H&amp;E staining concentration</t>
  </si>
  <si>
    <t>Standard deviation</t>
  </si>
  <si>
    <t>Peak wavelength replicate 1 (nm)</t>
  </si>
  <si>
    <t>Peak wavelength replicate 3 (nm)</t>
  </si>
  <si>
    <t>Peak wavelength replicate 2 (nm)</t>
  </si>
  <si>
    <t>Average peak wavelength (nm)</t>
  </si>
  <si>
    <t>596.10 ± 1.27</t>
  </si>
  <si>
    <t>622.08 ± 11.85</t>
  </si>
  <si>
    <t>656.42 ± 1.29</t>
  </si>
  <si>
    <t>665.95 ± 15.40</t>
  </si>
  <si>
    <t>666.36 ± 7.49</t>
  </si>
  <si>
    <t>Values extracted from file "Figure 3" from cells F2 to K2</t>
  </si>
  <si>
    <t>same table as above, except the standard deviation was manually added into the average peak wavelength column</t>
  </si>
  <si>
    <t>graph of the peak wavelengths of biomass</t>
  </si>
  <si>
    <t>631.80 ± 13.73</t>
  </si>
  <si>
    <t>Values extracted from file "Figure S5A" from cells F2 to K2</t>
  </si>
  <si>
    <t>Values extracted from file "Figure S6A" from cells F2 to 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</si>
</sst>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9" fontId="0" fillId="0" borderId="0" xfId="1" applyFont="1"/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9" fontId="2" fillId="0" borderId="9" xfId="1" applyFont="1" applyBorder="1" applyAlignment="1">
      <alignment horizontal="center" vertical="center"/>
    </xf>
    <xf numFmtId="9" fontId="2" fillId="0" borderId="10" xfId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9" fontId="2" fillId="0" borderId="11" xfId="1" applyFon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2" fontId="2" fillId="0" borderId="21" xfId="0" applyNumberFormat="1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</cellXfs>
  <cellStyles count="3">
    <cellStyle name="Normal" xfId="0" builtinId="0"/>
    <cellStyle name="Normal 2" xfId="2" xr:uid="{B41ED54A-56DA-904C-897C-C6BBCD56A34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'avg biomass peak wavelength '!$F$8</c:f>
              <c:strCache>
                <c:ptCount val="1"/>
                <c:pt idx="0">
                  <c:v>Average peak wavelength (nm)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'avg biomass peak wavelength '!$G$9:$G$14</c:f>
                <c:numCache>
                  <c:formatCode>General</c:formatCode>
                  <c:ptCount val="6"/>
                  <c:pt idx="0">
                    <c:v>1.2720000117924442</c:v>
                  </c:pt>
                  <c:pt idx="1">
                    <c:v>11.852250471113045</c:v>
                  </c:pt>
                  <c:pt idx="2">
                    <c:v>13.725715314814476</c:v>
                  </c:pt>
                  <c:pt idx="3">
                    <c:v>1.2945500080465693</c:v>
                  </c:pt>
                  <c:pt idx="4">
                    <c:v>15.396653033695351</c:v>
                  </c:pt>
                  <c:pt idx="5">
                    <c:v>7.4907733325738493</c:v>
                  </c:pt>
                </c:numCache>
              </c:numRef>
            </c:plus>
            <c:minus>
              <c:numRef>
                <c:f>'avg biomass peak wavelength '!$G$9:$G$14</c:f>
                <c:numCache>
                  <c:formatCode>General</c:formatCode>
                  <c:ptCount val="6"/>
                  <c:pt idx="0">
                    <c:v>1.2720000117924442</c:v>
                  </c:pt>
                  <c:pt idx="1">
                    <c:v>11.852250471113045</c:v>
                  </c:pt>
                  <c:pt idx="2">
                    <c:v>13.725715314814476</c:v>
                  </c:pt>
                  <c:pt idx="3">
                    <c:v>1.2945500080465693</c:v>
                  </c:pt>
                  <c:pt idx="4">
                    <c:v>15.396653033695351</c:v>
                  </c:pt>
                  <c:pt idx="5">
                    <c:v>7.4907733325738493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'avg biomass peak wavelength '!$B$9:$B$14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  <c:pt idx="5">
                  <c:v>1</c:v>
                </c:pt>
              </c:numCache>
            </c:numRef>
          </c:cat>
          <c:val>
            <c:numRef>
              <c:f>'avg biomass peak wavelength '!$F$9:$F$14</c:f>
              <c:numCache>
                <c:formatCode>0.00</c:formatCode>
                <c:ptCount val="6"/>
                <c:pt idx="0">
                  <c:v>596.10479999999995</c:v>
                </c:pt>
                <c:pt idx="1">
                  <c:v>622.08150000000012</c:v>
                </c:pt>
                <c:pt idx="2">
                  <c:v>631.07023333333336</c:v>
                </c:pt>
                <c:pt idx="3">
                  <c:v>656.41896666666673</c:v>
                </c:pt>
                <c:pt idx="4">
                  <c:v>665.94760000000008</c:v>
                </c:pt>
                <c:pt idx="5">
                  <c:v>666.36320000000012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16-8744-80AE-4E61BBE01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3964992"/>
        <c:axId val="934177728"/>
      </c:barChart>
      <c:catAx>
        <c:axId val="1473964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H&amp;E staining concentration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4177728"/>
        <c:crosses val="autoZero"/>
        <c:auto val="1"/>
        <c:lblAlgn val="ctr"/>
        <c:lblOffset val="100"/>
        <c:noMultiLvlLbl val="0"/>
      </c:catAx>
      <c:valAx>
        <c:axId val="934177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cross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396499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88107</xdr:colOff>
      <xdr:row>6</xdr:row>
      <xdr:rowOff>125411</xdr:rowOff>
    </xdr:from>
    <xdr:to>
      <xdr:col>22</xdr:col>
      <xdr:colOff>476251</xdr:colOff>
      <xdr:row>31</xdr:row>
      <xdr:rowOff>138906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FA9B7F-3D53-DD18-0A64-8147BC4E4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5CFC-737B-EF4C-B9D2-95955D7B7230}">
  <dimension ref="B1:K23"/>
  <sheetViews>
    <sheetView tabSelected="1" zoomScale="118" workbookViewId="0">
      <selection activeCell="B16" sqref="B16:G16"/>
    </sheetView>
  </sheetViews>
  <sheetFormatPr baseColWidth="10" defaultRowHeight="16" x14ac:dyDescent="0.2"/>
  <cols>
    <col min="2" max="7" width="20.83203125" customWidth="1"/>
  </cols>
  <sheetData>
    <row r="1" spans="2:11" x14ac:dyDescent="0.2">
      <c r="C1" s="1"/>
      <c r="D1" s="1"/>
      <c r="E1" s="1"/>
      <c r="F1" s="1"/>
      <c r="G1" s="1"/>
      <c r="H1" s="1"/>
    </row>
    <row r="5" spans="2:11" x14ac:dyDescent="0.2">
      <c r="K5" t="s">
        <v>13</v>
      </c>
    </row>
    <row r="7" spans="2:11" ht="17" thickBot="1" x14ac:dyDescent="0.25">
      <c r="C7" t="s">
        <v>11</v>
      </c>
      <c r="D7" t="s">
        <v>15</v>
      </c>
      <c r="E7" t="s">
        <v>16</v>
      </c>
    </row>
    <row r="8" spans="2:11" ht="17" thickBot="1" x14ac:dyDescent="0.25">
      <c r="B8" s="11" t="s">
        <v>0</v>
      </c>
      <c r="C8" s="12" t="s">
        <v>2</v>
      </c>
      <c r="D8" s="13" t="s">
        <v>4</v>
      </c>
      <c r="E8" s="15" t="s">
        <v>3</v>
      </c>
      <c r="F8" s="16" t="s">
        <v>5</v>
      </c>
      <c r="G8" s="14" t="s">
        <v>1</v>
      </c>
    </row>
    <row r="9" spans="2:11" x14ac:dyDescent="0.2">
      <c r="B9" s="8">
        <v>0</v>
      </c>
      <c r="C9" s="9">
        <v>597.37689999999998</v>
      </c>
      <c r="D9" s="31">
        <v>596.1046</v>
      </c>
      <c r="E9" s="32">
        <v>594.8329</v>
      </c>
      <c r="F9" s="17">
        <f>AVERAGE(C9:E9)</f>
        <v>596.10479999999995</v>
      </c>
      <c r="G9" s="10">
        <f>STDEV(C9:E9)</f>
        <v>1.2720000117924442</v>
      </c>
    </row>
    <row r="10" spans="2:11" x14ac:dyDescent="0.2">
      <c r="B10" s="4">
        <v>0.05</v>
      </c>
      <c r="C10" s="2">
        <v>615.23860000000002</v>
      </c>
      <c r="D10" s="31">
        <v>635.76729999999998</v>
      </c>
      <c r="E10" s="32">
        <v>615.23860000000002</v>
      </c>
      <c r="F10" s="18">
        <f t="shared" ref="F10:F14" si="0">AVERAGE(C10:E10)</f>
        <v>622.08150000000012</v>
      </c>
      <c r="G10" s="6">
        <f t="shared" ref="G10:G14" si="1">STDEV(C10:E10)</f>
        <v>11.852250471113045</v>
      </c>
    </row>
    <row r="11" spans="2:11" x14ac:dyDescent="0.2">
      <c r="B11" s="4">
        <v>0.1</v>
      </c>
      <c r="C11" s="2">
        <v>638.34199999999998</v>
      </c>
      <c r="D11" s="31">
        <v>615.23860000000002</v>
      </c>
      <c r="E11" s="32">
        <v>639.63009999999997</v>
      </c>
      <c r="F11" s="18">
        <f t="shared" si="0"/>
        <v>631.07023333333336</v>
      </c>
      <c r="G11" s="6">
        <f t="shared" si="1"/>
        <v>13.725715314814476</v>
      </c>
    </row>
    <row r="12" spans="2:11" x14ac:dyDescent="0.2">
      <c r="B12" s="4">
        <v>0.25</v>
      </c>
      <c r="C12" s="2">
        <v>655.12450000000001</v>
      </c>
      <c r="D12" s="31">
        <v>656.41880000000003</v>
      </c>
      <c r="E12" s="32">
        <v>657.71360000000004</v>
      </c>
      <c r="F12" s="18">
        <f t="shared" si="0"/>
        <v>656.41896666666673</v>
      </c>
      <c r="G12" s="6">
        <f t="shared" si="1"/>
        <v>1.2945500080465693</v>
      </c>
    </row>
    <row r="13" spans="2:11" x14ac:dyDescent="0.2">
      <c r="B13" s="4">
        <v>0.5</v>
      </c>
      <c r="C13" s="2">
        <v>683.71040000000005</v>
      </c>
      <c r="D13" s="31">
        <v>656.41880000000003</v>
      </c>
      <c r="E13" s="32">
        <v>657.71360000000004</v>
      </c>
      <c r="F13" s="18">
        <f t="shared" si="0"/>
        <v>665.94760000000008</v>
      </c>
      <c r="G13" s="6">
        <f t="shared" si="1"/>
        <v>15.396653033695351</v>
      </c>
    </row>
    <row r="14" spans="2:11" ht="17" thickBot="1" x14ac:dyDescent="0.25">
      <c r="B14" s="5">
        <v>1</v>
      </c>
      <c r="C14" s="3">
        <v>657.71360000000004</v>
      </c>
      <c r="D14" s="31">
        <v>670.68799999999999</v>
      </c>
      <c r="E14" s="32">
        <v>670.68799999999999</v>
      </c>
      <c r="F14" s="19">
        <f t="shared" si="0"/>
        <v>666.36320000000012</v>
      </c>
      <c r="G14" s="7">
        <f t="shared" si="1"/>
        <v>7.4907733325738493</v>
      </c>
    </row>
    <row r="16" spans="2:11" ht="17" thickBot="1" x14ac:dyDescent="0.25">
      <c r="B16" s="33" t="s">
        <v>12</v>
      </c>
      <c r="C16" s="33"/>
      <c r="D16" s="33"/>
      <c r="E16" s="33"/>
      <c r="F16" s="33"/>
      <c r="G16" s="33"/>
    </row>
    <row r="17" spans="2:7" ht="35" thickBot="1" x14ac:dyDescent="0.25">
      <c r="B17" s="27" t="s">
        <v>0</v>
      </c>
      <c r="C17" s="28" t="s">
        <v>2</v>
      </c>
      <c r="D17" s="29" t="s">
        <v>4</v>
      </c>
      <c r="E17" s="30" t="s">
        <v>3</v>
      </c>
      <c r="F17" s="27" t="s">
        <v>5</v>
      </c>
      <c r="G17" s="20"/>
    </row>
    <row r="18" spans="2:7" x14ac:dyDescent="0.2">
      <c r="B18" s="8">
        <v>0</v>
      </c>
      <c r="C18" s="9">
        <f t="shared" ref="C18:C23" si="2">C9</f>
        <v>597.37689999999998</v>
      </c>
      <c r="D18" s="9">
        <f t="shared" ref="D18:E18" si="3">D9</f>
        <v>596.1046</v>
      </c>
      <c r="E18" s="9">
        <f t="shared" si="3"/>
        <v>594.8329</v>
      </c>
      <c r="F18" s="24" t="s">
        <v>6</v>
      </c>
      <c r="G18" s="21"/>
    </row>
    <row r="19" spans="2:7" x14ac:dyDescent="0.2">
      <c r="B19" s="4">
        <v>0.05</v>
      </c>
      <c r="C19" s="2">
        <f t="shared" si="2"/>
        <v>615.23860000000002</v>
      </c>
      <c r="D19" s="2">
        <f t="shared" ref="D19:E19" si="4">D10</f>
        <v>635.76729999999998</v>
      </c>
      <c r="E19" s="2">
        <f t="shared" si="4"/>
        <v>615.23860000000002</v>
      </c>
      <c r="F19" s="25" t="s">
        <v>7</v>
      </c>
      <c r="G19" s="22"/>
    </row>
    <row r="20" spans="2:7" x14ac:dyDescent="0.2">
      <c r="B20" s="4">
        <v>0.1</v>
      </c>
      <c r="C20" s="2">
        <f t="shared" si="2"/>
        <v>638.34199999999998</v>
      </c>
      <c r="D20" s="2">
        <f t="shared" ref="D20:E20" si="5">D11</f>
        <v>615.23860000000002</v>
      </c>
      <c r="E20" s="2">
        <f t="shared" si="5"/>
        <v>639.63009999999997</v>
      </c>
      <c r="F20" s="25" t="s">
        <v>14</v>
      </c>
      <c r="G20" s="22"/>
    </row>
    <row r="21" spans="2:7" x14ac:dyDescent="0.2">
      <c r="B21" s="4">
        <v>0.25</v>
      </c>
      <c r="C21" s="2">
        <f t="shared" si="2"/>
        <v>655.12450000000001</v>
      </c>
      <c r="D21" s="2">
        <f t="shared" ref="D21:E21" si="6">D12</f>
        <v>656.41880000000003</v>
      </c>
      <c r="E21" s="2">
        <f t="shared" si="6"/>
        <v>657.71360000000004</v>
      </c>
      <c r="F21" s="25" t="s">
        <v>8</v>
      </c>
      <c r="G21" s="22"/>
    </row>
    <row r="22" spans="2:7" x14ac:dyDescent="0.2">
      <c r="B22" s="4">
        <v>0.5</v>
      </c>
      <c r="C22" s="2">
        <f t="shared" si="2"/>
        <v>683.71040000000005</v>
      </c>
      <c r="D22" s="2">
        <f t="shared" ref="D22:E22" si="7">D13</f>
        <v>656.41880000000003</v>
      </c>
      <c r="E22" s="2">
        <f t="shared" si="7"/>
        <v>657.71360000000004</v>
      </c>
      <c r="F22" s="25" t="s">
        <v>9</v>
      </c>
      <c r="G22" s="22"/>
    </row>
    <row r="23" spans="2:7" ht="17" thickBot="1" x14ac:dyDescent="0.25">
      <c r="B23" s="5">
        <v>1</v>
      </c>
      <c r="C23" s="3">
        <f t="shared" si="2"/>
        <v>657.71360000000004</v>
      </c>
      <c r="D23" s="3">
        <f t="shared" ref="D23:E23" si="8">D14</f>
        <v>670.68799999999999</v>
      </c>
      <c r="E23" s="3">
        <f t="shared" si="8"/>
        <v>670.68799999999999</v>
      </c>
      <c r="F23" s="26" t="s">
        <v>10</v>
      </c>
      <c r="G23" s="23"/>
    </row>
  </sheetData>
  <mergeCells count="1">
    <mergeCell ref="B16:G1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Props1.xml><?xml version="1.0" encoding="utf-8"?>
<ds:datastoreItem xmlns:ds="http://schemas.openxmlformats.org/officeDocument/2006/customXml" ds:itemID="{46E0E730-DBAE-49AA-9A37-E30DDFD4DBD1}"/>
</file>

<file path=customXml/itemProps2.xml><?xml version="1.0" encoding="utf-8"?>
<ds:datastoreItem xmlns:ds="http://schemas.openxmlformats.org/officeDocument/2006/customXml" ds:itemID="{55AC4B03-274D-4120-911B-8C64D4C316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01F62B-330D-4CA9-A71E-A717785A54F5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00a22d95-5ba0-4c78-bccf-20810623e2dd"/>
    <ds:schemaRef ds:uri="38a8f713-fea2-41f8-ba53-25c864bb5e3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 biomass peak wavelength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2025-12-11T20:32:23Z</dcterms:created>
  <dcterms:modified xsi:type="dcterms:W3CDTF">2026-01-12T03:26:03Z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