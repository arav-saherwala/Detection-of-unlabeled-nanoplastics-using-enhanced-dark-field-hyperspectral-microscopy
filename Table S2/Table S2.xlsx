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gill.sharepoint.com/sites/Personal311_Group/Shared Documents/General/Research/H&amp;E Staining/Thesis/Saherwala_ESNano Data/Table S2/"/>
    </mc:Choice>
  </mc:AlternateContent>
  <xr:revisionPtr revIDLastSave="232" documentId="8_{1E1A0410-BE4C-4D4E-B2E5-DBC40249E2C4}" xr6:coauthVersionLast="47" xr6:coauthVersionMax="47" xr10:uidLastSave="{B182AAC1-7D94-4443-B9B0-B874ECF01996}"/>
  <bookViews>
    <workbookView xWindow="0" yWindow="600" windowWidth="28800" windowHeight="18040" xr2:uid="{83D48816-DB1E-214D-AA3B-8454474535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1" l="1"/>
  <c r="G52" i="1"/>
  <c r="F52" i="1"/>
  <c r="D51" i="1"/>
  <c r="C51" i="1"/>
  <c r="G60" i="1"/>
  <c r="F59" i="1"/>
  <c r="E58" i="1"/>
  <c r="D58" i="1"/>
  <c r="B58" i="1"/>
  <c r="F51" i="1"/>
  <c r="E51" i="1"/>
  <c r="G37" i="1"/>
  <c r="F37" i="1"/>
  <c r="E37" i="1"/>
  <c r="D37" i="1"/>
  <c r="D30" i="1"/>
  <c r="G30" i="1"/>
  <c r="F30" i="1"/>
  <c r="E30" i="1"/>
  <c r="D36" i="1"/>
  <c r="B59" i="1"/>
  <c r="B5" i="1"/>
  <c r="B43" i="1"/>
  <c r="C43" i="1"/>
  <c r="B44" i="1"/>
  <c r="C44" i="1"/>
  <c r="B36" i="1"/>
  <c r="C36" i="1"/>
  <c r="B37" i="1"/>
  <c r="B52" i="1" s="1"/>
  <c r="C37" i="1"/>
  <c r="B29" i="1"/>
  <c r="C29" i="1"/>
  <c r="B30" i="1"/>
  <c r="C30" i="1"/>
  <c r="G45" i="1"/>
  <c r="F45" i="1"/>
  <c r="E45" i="1"/>
  <c r="D45" i="1"/>
  <c r="G44" i="1"/>
  <c r="F44" i="1"/>
  <c r="E44" i="1"/>
  <c r="D44" i="1"/>
  <c r="G43" i="1"/>
  <c r="F43" i="1"/>
  <c r="E43" i="1"/>
  <c r="G38" i="1"/>
  <c r="F38" i="1"/>
  <c r="E38" i="1"/>
  <c r="D38" i="1"/>
  <c r="G36" i="1"/>
  <c r="F36" i="1"/>
  <c r="E36" i="1"/>
  <c r="G31" i="1"/>
  <c r="F31" i="1"/>
  <c r="E31" i="1"/>
  <c r="D31" i="1"/>
  <c r="G29" i="1"/>
  <c r="F29" i="1"/>
  <c r="E29" i="1"/>
  <c r="D29" i="1"/>
  <c r="B51" i="1" l="1"/>
  <c r="C59" i="1"/>
  <c r="C58" i="1"/>
  <c r="G58" i="1"/>
  <c r="F58" i="1"/>
  <c r="C52" i="1"/>
  <c r="D60" i="1"/>
  <c r="G59" i="1"/>
  <c r="E60" i="1"/>
  <c r="F60" i="1"/>
  <c r="D52" i="1"/>
  <c r="E52" i="1"/>
  <c r="E59" i="1"/>
  <c r="D59" i="1"/>
  <c r="F53" i="1"/>
  <c r="E53" i="1"/>
  <c r="G51" i="1"/>
  <c r="G53" i="1"/>
  <c r="D53" i="1"/>
</calcChain>
</file>

<file path=xl/sharedStrings.xml><?xml version="1.0" encoding="utf-8"?>
<sst xmlns="http://schemas.openxmlformats.org/spreadsheetml/2006/main" count="81" uniqueCount="39">
  <si>
    <t>correctly detected</t>
  </si>
  <si>
    <t>not particles but detected</t>
  </si>
  <si>
    <t>particles but not detected</t>
  </si>
  <si>
    <t>Replicate 1</t>
  </si>
  <si>
    <t>Percent Correctly Detected</t>
  </si>
  <si>
    <t>Percent False Negative (particle but not detected)</t>
  </si>
  <si>
    <t>Percent False Positive (detected but not particle)</t>
  </si>
  <si>
    <t>Replicate 2</t>
  </si>
  <si>
    <t>Replicate 3</t>
  </si>
  <si>
    <t>Average</t>
  </si>
  <si>
    <t>12.33 ± 12.33%</t>
  </si>
  <si>
    <t>87.71 ± 8.47%</t>
  </si>
  <si>
    <t>94.38 ± 3.35%</t>
  </si>
  <si>
    <t>5.62 ± 3.35%</t>
  </si>
  <si>
    <t>6.88 ± 3.04%</t>
  </si>
  <si>
    <t>87.45 ± 6.32%</t>
  </si>
  <si>
    <t>12.55 ± 6.32%</t>
  </si>
  <si>
    <t>7.68 ± 2.35%</t>
  </si>
  <si>
    <t>89.45 ± 0.95%</t>
  </si>
  <si>
    <t>5.53 ± 3.92%</t>
  </si>
  <si>
    <t>Standard Deviation</t>
  </si>
  <si>
    <t>Table</t>
  </si>
  <si>
    <t>Too high to count</t>
  </si>
  <si>
    <t>96.26 ± 4.12%</t>
  </si>
  <si>
    <t>3.74 ± 4.12 %</t>
  </si>
  <si>
    <t>99.27 ± 0.64%</t>
  </si>
  <si>
    <t>0.73 ± 0.64%</t>
  </si>
  <si>
    <t>total number of plastic particles</t>
  </si>
  <si>
    <t>H&amp;E Staining Concentration:</t>
  </si>
  <si>
    <t>Percent Correctly detected was calcualted by dividing correctly detected by total number of plastic particles. For example for 10% staining, cell D5 was divided by D4. Likewise the remaining staining concentrations were calculated</t>
  </si>
  <si>
    <t>Percent false negative was calcualted by dividing particles but not detected by total number of plastic particles. For example for 10% staining, cell D7 was divided by D4. Likewise the remaining staining concentrations were calculated</t>
  </si>
  <si>
    <t>Percent false positive was calcualted by dividing detected but not particles by total number of plastic particles. For example for 10% staining, cell D6 was divided by D4. Likewise the remaining staining concentrations were calculated</t>
  </si>
  <si>
    <t xml:space="preserve">For 0% and 5% staining concentration, a considerable amount of biomass was detected, and hence was not possible to calculate the percent false positive. Hence, it can be said that 0% and 5% staining was insufficient in differentiating between biomass and plastic particles. </t>
  </si>
  <si>
    <t>Percent true positive (correctly detected)</t>
  </si>
  <si>
    <t>Percent false negative (particle but not detected)</t>
  </si>
  <si>
    <t>Percent false positive (detected but not particle)</t>
  </si>
  <si>
    <r>
      <t xml:space="preserve">From each staining concentration, the number of particles, correctly detected particles, missed particles, and false positives were manually counted. The </t>
    </r>
    <r>
      <rPr>
        <i/>
        <sz val="12"/>
        <color theme="1"/>
        <rFont val="Aptos Narrow"/>
        <scheme val="minor"/>
      </rPr>
      <t>D. magna</t>
    </r>
    <r>
      <rPr>
        <sz val="12"/>
        <color theme="1"/>
        <rFont val="Aptos Narrow"/>
        <family val="2"/>
        <scheme val="minor"/>
      </rPr>
      <t xml:space="preserve"> were exposed to 750 nm PS at 0.1 ppm and sliced using a cryotome into 20 µm thick slices. Then the slices were stained at 0%, 5%, 10%, 25%, 50%, or 100% H&amp;E stain.</t>
    </r>
  </si>
  <si>
    <t>10.55 ± 0.95%</t>
  </si>
  <si>
    <t>12.29 ± 8.47%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</si>
</sst>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6" xfId="0" applyBorder="1"/>
    <xf numFmtId="0" fontId="0" fillId="0" borderId="3" xfId="0" applyBorder="1" applyAlignment="1">
      <alignment horizontal="center" vertical="center"/>
    </xf>
    <xf numFmtId="10" fontId="0" fillId="0" borderId="6" xfId="1" applyNumberFormat="1" applyFont="1" applyBorder="1"/>
    <xf numFmtId="0" fontId="0" fillId="0" borderId="3" xfId="0" applyBorder="1" applyAlignment="1">
      <alignment vertical="center"/>
    </xf>
    <xf numFmtId="10" fontId="0" fillId="0" borderId="3" xfId="1" applyNumberFormat="1" applyFont="1" applyBorder="1"/>
    <xf numFmtId="0" fontId="0" fillId="0" borderId="6" xfId="0" applyBorder="1" applyAlignment="1">
      <alignment horizontal="center" vertical="center"/>
    </xf>
    <xf numFmtId="10" fontId="0" fillId="0" borderId="3" xfId="1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9" fontId="3" fillId="0" borderId="8" xfId="0" applyNumberFormat="1" applyFont="1" applyBorder="1" applyAlignment="1">
      <alignment horizontal="center"/>
    </xf>
    <xf numFmtId="9" fontId="3" fillId="0" borderId="8" xfId="0" applyNumberFormat="1" applyFont="1" applyBorder="1"/>
    <xf numFmtId="9" fontId="3" fillId="0" borderId="9" xfId="0" applyNumberFormat="1" applyFont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9" fontId="3" fillId="2" borderId="8" xfId="0" applyNumberFormat="1" applyFont="1" applyFill="1" applyBorder="1" applyAlignment="1">
      <alignment horizontal="center" vertical="center"/>
    </xf>
    <xf numFmtId="9" fontId="3" fillId="2" borderId="8" xfId="0" applyNumberFormat="1" applyFont="1" applyFill="1" applyBorder="1" applyAlignment="1">
      <alignment vertical="center"/>
    </xf>
    <xf numFmtId="9" fontId="3" fillId="2" borderId="9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10" fontId="0" fillId="0" borderId="6" xfId="1" applyNumberFormat="1" applyFont="1" applyBorder="1" applyAlignment="1">
      <alignment horizontal="center" vertical="center"/>
    </xf>
    <xf numFmtId="10" fontId="0" fillId="0" borderId="12" xfId="1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10" fontId="0" fillId="0" borderId="5" xfId="1" applyNumberFormat="1" applyFont="1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10" fontId="0" fillId="0" borderId="14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/>
    </xf>
    <xf numFmtId="0" fontId="0" fillId="0" borderId="1" xfId="0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Sheet1!$A$51</c:f>
              <c:strCache>
                <c:ptCount val="1"/>
                <c:pt idx="0">
                  <c:v>Percent Correctly Detected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Sheet1!$B$58:$G$58</c:f>
                <c:numCache>
                  <c:formatCode>General</c:formatCode>
                  <c:ptCount val="6"/>
                  <c:pt idx="0">
                    <c:v>4.1230730912500256E-2</c:v>
                  </c:pt>
                  <c:pt idx="1">
                    <c:v>6.3838503125188736E-3</c:v>
                  </c:pt>
                  <c:pt idx="2">
                    <c:v>8.4697731835318951E-2</c:v>
                  </c:pt>
                  <c:pt idx="3">
                    <c:v>3.3467307886267651E-2</c:v>
                  </c:pt>
                  <c:pt idx="4">
                    <c:v>6.3220911850181361E-2</c:v>
                  </c:pt>
                  <c:pt idx="5">
                    <c:v>9.5036249952892924E-3</c:v>
                  </c:pt>
                </c:numCache>
              </c:numRef>
            </c:plus>
            <c:minus>
              <c:numRef>
                <c:f>Sheet1!$B$58:$G$58</c:f>
                <c:numCache>
                  <c:formatCode>General</c:formatCode>
                  <c:ptCount val="6"/>
                  <c:pt idx="0">
                    <c:v>4.1230730912500256E-2</c:v>
                  </c:pt>
                  <c:pt idx="1">
                    <c:v>6.3838503125188736E-3</c:v>
                  </c:pt>
                  <c:pt idx="2">
                    <c:v>8.4697731835318951E-2</c:v>
                  </c:pt>
                  <c:pt idx="3">
                    <c:v>3.3467307886267651E-2</c:v>
                  </c:pt>
                  <c:pt idx="4">
                    <c:v>6.3220911850181361E-2</c:v>
                  </c:pt>
                  <c:pt idx="5">
                    <c:v>9.5036249952892924E-3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Sheet1!$B$50:$G$50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</c:numCache>
            </c:numRef>
          </c:cat>
          <c:val>
            <c:numRef>
              <c:f>Sheet1!$B$51:$G$51</c:f>
              <c:numCache>
                <c:formatCode>0.00%</c:formatCode>
                <c:ptCount val="6"/>
                <c:pt idx="0">
                  <c:v>0.96255020779642919</c:v>
                </c:pt>
                <c:pt idx="1">
                  <c:v>0.99266382339529524</c:v>
                </c:pt>
                <c:pt idx="2">
                  <c:v>0.87708082265318144</c:v>
                </c:pt>
                <c:pt idx="3">
                  <c:v>0.94384159901401288</c:v>
                </c:pt>
                <c:pt idx="4">
                  <c:v>0.87446423610968571</c:v>
                </c:pt>
                <c:pt idx="5">
                  <c:v>0.89445966164793467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56-9047-AA4F-7189EBDB2D0A}"/>
            </c:ext>
          </c:extLst>
        </c:ser>
        <c:ser>
          <c:idx val="1"/>
          <c:order val="1"/>
          <c:tx>
            <c:strRef>
              <c:f>Sheet1!$A$52</c:f>
              <c:strCache>
                <c:ptCount val="1"/>
                <c:pt idx="0">
                  <c:v>Percent False Negative (particle but not detected)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Sheet1!$B$59:$G$59</c:f>
                <c:numCache>
                  <c:formatCode>General</c:formatCode>
                  <c:ptCount val="6"/>
                  <c:pt idx="0">
                    <c:v>4.1230730912500263E-2</c:v>
                  </c:pt>
                  <c:pt idx="1">
                    <c:v>6.3838503125188554E-3</c:v>
                  </c:pt>
                  <c:pt idx="2">
                    <c:v>8.4697731835318993E-2</c:v>
                  </c:pt>
                  <c:pt idx="3">
                    <c:v>3.3467307886267665E-2</c:v>
                  </c:pt>
                  <c:pt idx="4">
                    <c:v>6.3220911850181333E-2</c:v>
                  </c:pt>
                  <c:pt idx="5">
                    <c:v>9.5036249952893011E-3</c:v>
                  </c:pt>
                </c:numCache>
              </c:numRef>
            </c:plus>
            <c:minus>
              <c:numRef>
                <c:f>Sheet1!$B$59:$G$59</c:f>
                <c:numCache>
                  <c:formatCode>General</c:formatCode>
                  <c:ptCount val="6"/>
                  <c:pt idx="0">
                    <c:v>4.1230730912500263E-2</c:v>
                  </c:pt>
                  <c:pt idx="1">
                    <c:v>6.3838503125188554E-3</c:v>
                  </c:pt>
                  <c:pt idx="2">
                    <c:v>8.4697731835318993E-2</c:v>
                  </c:pt>
                  <c:pt idx="3">
                    <c:v>3.3467307886267665E-2</c:v>
                  </c:pt>
                  <c:pt idx="4">
                    <c:v>6.3220911850181333E-2</c:v>
                  </c:pt>
                  <c:pt idx="5">
                    <c:v>9.5036249952893011E-3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Sheet1!$B$50:$G$50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</c:numCache>
            </c:numRef>
          </c:cat>
          <c:val>
            <c:numRef>
              <c:f>Sheet1!$B$52:$G$52</c:f>
              <c:numCache>
                <c:formatCode>0.00%</c:formatCode>
                <c:ptCount val="6"/>
                <c:pt idx="0">
                  <c:v>3.7449792203570843E-2</c:v>
                </c:pt>
                <c:pt idx="1">
                  <c:v>7.3361766047048095E-3</c:v>
                </c:pt>
                <c:pt idx="2">
                  <c:v>0.12291917734681855</c:v>
                </c:pt>
                <c:pt idx="3">
                  <c:v>5.6158400985987199E-2</c:v>
                </c:pt>
                <c:pt idx="4">
                  <c:v>0.12553576389031432</c:v>
                </c:pt>
                <c:pt idx="5">
                  <c:v>0.10554033835206522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56-9047-AA4F-7189EBDB2D0A}"/>
            </c:ext>
          </c:extLst>
        </c:ser>
        <c:ser>
          <c:idx val="2"/>
          <c:order val="2"/>
          <c:tx>
            <c:strRef>
              <c:f>Sheet1!$A$53</c:f>
              <c:strCache>
                <c:ptCount val="1"/>
                <c:pt idx="0">
                  <c:v>Percent False Positive (detected but not particle)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Sheet1!$B$60:$G$60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8.5830339768987102E-2</c:v>
                  </c:pt>
                  <c:pt idx="3">
                    <c:v>3.0378841958985103E-2</c:v>
                  </c:pt>
                  <c:pt idx="4">
                    <c:v>2.3527587392928182E-2</c:v>
                  </c:pt>
                  <c:pt idx="5">
                    <c:v>3.9220274965955274E-2</c:v>
                  </c:pt>
                </c:numCache>
              </c:numRef>
            </c:plus>
            <c:minus>
              <c:numRef>
                <c:f>Sheet1!$B$60:$G$60</c:f>
                <c:numCache>
                  <c:formatCode>General</c:formatCode>
                  <c:ptCount val="6"/>
                  <c:pt idx="0">
                    <c:v>0</c:v>
                  </c:pt>
                  <c:pt idx="1">
                    <c:v>0</c:v>
                  </c:pt>
                  <c:pt idx="2">
                    <c:v>8.5830339768987102E-2</c:v>
                  </c:pt>
                  <c:pt idx="3">
                    <c:v>3.0378841958985103E-2</c:v>
                  </c:pt>
                  <c:pt idx="4">
                    <c:v>2.3527587392928182E-2</c:v>
                  </c:pt>
                  <c:pt idx="5">
                    <c:v>3.9220274965955274E-2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/>
                </a:solidFill>
                <a:round/>
              </a:ln>
              <a:effectLst/>
            </c:spPr>
          </c:errBars>
          <c:cat>
            <c:numRef>
              <c:f>Sheet1!$B$50:$G$50</c:f>
              <c:numCache>
                <c:formatCode>0%</c:formatCode>
                <c:ptCount val="6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0.25</c:v>
                </c:pt>
                <c:pt idx="4">
                  <c:v>0.5</c:v>
                </c:pt>
                <c:pt idx="5">
                  <c:v>1</c:v>
                </c:pt>
              </c:numCache>
            </c:numRef>
          </c:cat>
          <c:val>
            <c:numRef>
              <c:f>Sheet1!$B$53:$G$53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0.12329664199026745</c:v>
                </c:pt>
                <c:pt idx="3">
                  <c:v>6.8778635157945509E-2</c:v>
                </c:pt>
                <c:pt idx="4">
                  <c:v>7.6780668300539562E-2</c:v>
                </c:pt>
                <c:pt idx="5">
                  <c:v>5.5334169788647775E-2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56-9047-AA4F-7189EBDB2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2730240"/>
        <c:axId val="652723072"/>
      </c:barChart>
      <c:catAx>
        <c:axId val="652730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H&amp;E staining concentration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23072"/>
        <c:crosses val="autoZero"/>
        <c:auto val="1"/>
        <c:lblAlgn val="ctr"/>
        <c:lblOffset val="100"/>
        <c:noMultiLvlLbl val="0"/>
      </c:catAx>
      <c:valAx>
        <c:axId val="652723072"/>
        <c:scaling>
          <c:orientation val="minMax"/>
          <c:max val="1.2"/>
          <c:min val="0"/>
        </c:scaling>
        <c:delete val="0"/>
        <c:axPos val="l"/>
        <c:numFmt formatCode="0%" sourceLinked="0"/>
        <c:majorTickMark val="cross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27302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82550</xdr:colOff>
      <xdr:row>41</xdr:row>
      <xdr:rowOff>158750</xdr:rowOff>
    </xdr:from>
    <xdr:to>
      <xdr:col>17</xdr:col>
      <xdr:colOff>558800</xdr:colOff>
      <xdr:row>64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D0F0BB-0DD6-7C0C-CD1C-91987DFDE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F11A-6C5E-FC4C-9D17-C3E0415213F4}">
  <dimension ref="A1:G67"/>
  <sheetViews>
    <sheetView tabSelected="1" topLeftCell="A46" workbookViewId="0">
      <selection activeCell="D44" sqref="D44"/>
    </sheetView>
  </sheetViews>
  <sheetFormatPr baseColWidth="10" defaultColWidth="11" defaultRowHeight="16" x14ac:dyDescent="0.2"/>
  <cols>
    <col min="1" max="1" width="42.33203125" bestFit="1" customWidth="1"/>
    <col min="2" max="3" width="15.1640625" bestFit="1" customWidth="1"/>
    <col min="4" max="4" width="13.6640625" bestFit="1" customWidth="1"/>
    <col min="5" max="7" width="12.6640625" bestFit="1" customWidth="1"/>
  </cols>
  <sheetData>
    <row r="1" spans="1:7" ht="48" customHeight="1" x14ac:dyDescent="0.2">
      <c r="A1" s="27" t="s">
        <v>36</v>
      </c>
      <c r="B1" s="27"/>
      <c r="C1" s="27"/>
      <c r="D1" s="27"/>
      <c r="E1" s="27"/>
      <c r="F1" s="27"/>
      <c r="G1" s="27"/>
    </row>
    <row r="2" spans="1:7" ht="17" thickBot="1" x14ac:dyDescent="0.25">
      <c r="A2" s="1"/>
      <c r="B2" s="29" t="s">
        <v>3</v>
      </c>
      <c r="C2" s="29"/>
      <c r="D2" s="29"/>
      <c r="E2" s="29"/>
      <c r="F2" s="29"/>
      <c r="G2" s="29"/>
    </row>
    <row r="3" spans="1:7" ht="17" thickBot="1" x14ac:dyDescent="0.25">
      <c r="A3" s="10" t="s">
        <v>28</v>
      </c>
      <c r="B3" s="11">
        <v>0</v>
      </c>
      <c r="C3" s="11">
        <v>0.05</v>
      </c>
      <c r="D3" s="12">
        <v>0.1</v>
      </c>
      <c r="E3" s="11">
        <v>0.25</v>
      </c>
      <c r="F3" s="11">
        <v>0.5</v>
      </c>
      <c r="G3" s="13">
        <v>1</v>
      </c>
    </row>
    <row r="4" spans="1:7" x14ac:dyDescent="0.2">
      <c r="A4" s="3" t="s">
        <v>27</v>
      </c>
      <c r="B4" s="3">
        <v>293</v>
      </c>
      <c r="C4" s="3">
        <v>101</v>
      </c>
      <c r="D4" s="3">
        <v>142</v>
      </c>
      <c r="E4" s="3">
        <v>145</v>
      </c>
      <c r="F4" s="3">
        <v>115</v>
      </c>
      <c r="G4" s="3">
        <v>235</v>
      </c>
    </row>
    <row r="5" spans="1:7" x14ac:dyDescent="0.2">
      <c r="A5" s="2" t="s">
        <v>0</v>
      </c>
      <c r="B5" s="3">
        <f>B4-B7</f>
        <v>284</v>
      </c>
      <c r="C5" s="3">
        <v>101</v>
      </c>
      <c r="D5" s="3">
        <v>131</v>
      </c>
      <c r="E5" s="3">
        <v>142</v>
      </c>
      <c r="F5" s="3">
        <v>103</v>
      </c>
      <c r="G5" s="3">
        <v>211</v>
      </c>
    </row>
    <row r="6" spans="1:7" x14ac:dyDescent="0.2">
      <c r="A6" s="2" t="s">
        <v>1</v>
      </c>
      <c r="B6" s="3"/>
      <c r="C6" s="3"/>
      <c r="D6" s="3">
        <v>7</v>
      </c>
      <c r="E6" s="3">
        <v>5</v>
      </c>
      <c r="F6" s="3">
        <v>11</v>
      </c>
      <c r="G6" s="3">
        <v>5</v>
      </c>
    </row>
    <row r="7" spans="1:7" x14ac:dyDescent="0.2">
      <c r="A7" s="2" t="s">
        <v>2</v>
      </c>
      <c r="B7" s="3">
        <v>9</v>
      </c>
      <c r="C7" s="3">
        <v>0</v>
      </c>
      <c r="D7" s="3">
        <v>11</v>
      </c>
      <c r="E7" s="3">
        <v>3</v>
      </c>
      <c r="F7" s="3">
        <v>12</v>
      </c>
      <c r="G7" s="3">
        <v>24</v>
      </c>
    </row>
    <row r="8" spans="1:7" x14ac:dyDescent="0.2">
      <c r="A8" s="2"/>
      <c r="B8" s="2"/>
      <c r="C8" s="2"/>
      <c r="D8" s="2"/>
      <c r="E8" s="2"/>
      <c r="F8" s="2"/>
      <c r="G8" s="2"/>
    </row>
    <row r="9" spans="1:7" ht="17" thickBot="1" x14ac:dyDescent="0.25">
      <c r="A9" s="1"/>
      <c r="B9" s="29" t="s">
        <v>7</v>
      </c>
      <c r="C9" s="29"/>
      <c r="D9" s="29"/>
      <c r="E9" s="29"/>
      <c r="F9" s="29"/>
      <c r="G9" s="29"/>
    </row>
    <row r="10" spans="1:7" ht="17" thickBot="1" x14ac:dyDescent="0.25">
      <c r="A10" s="10" t="s">
        <v>28</v>
      </c>
      <c r="B10" s="11">
        <v>0</v>
      </c>
      <c r="C10" s="11">
        <v>0.05</v>
      </c>
      <c r="D10" s="12">
        <v>0.1</v>
      </c>
      <c r="E10" s="11">
        <v>0.25</v>
      </c>
      <c r="F10" s="11">
        <v>0.5</v>
      </c>
      <c r="G10" s="13">
        <v>1</v>
      </c>
    </row>
    <row r="11" spans="1:7" x14ac:dyDescent="0.2">
      <c r="A11" s="3" t="s">
        <v>27</v>
      </c>
      <c r="B11" s="3">
        <v>121</v>
      </c>
      <c r="C11" s="3">
        <v>289</v>
      </c>
      <c r="D11" s="3">
        <v>184</v>
      </c>
      <c r="E11" s="3">
        <v>264</v>
      </c>
      <c r="F11" s="3">
        <v>119</v>
      </c>
      <c r="G11" s="3">
        <v>129</v>
      </c>
    </row>
    <row r="12" spans="1:7" x14ac:dyDescent="0.2">
      <c r="A12" s="2" t="s">
        <v>0</v>
      </c>
      <c r="B12" s="3">
        <v>121</v>
      </c>
      <c r="C12" s="3">
        <v>286</v>
      </c>
      <c r="D12" s="3">
        <v>171</v>
      </c>
      <c r="E12" s="3">
        <v>248</v>
      </c>
      <c r="F12" s="3">
        <v>110</v>
      </c>
      <c r="G12" s="3">
        <v>114</v>
      </c>
    </row>
    <row r="13" spans="1:7" x14ac:dyDescent="0.2">
      <c r="A13" s="2" t="s">
        <v>1</v>
      </c>
      <c r="B13" s="3"/>
      <c r="C13" s="3"/>
      <c r="D13" s="3">
        <v>40</v>
      </c>
      <c r="E13" s="3">
        <v>21</v>
      </c>
      <c r="F13" s="3">
        <v>6</v>
      </c>
      <c r="G13" s="3">
        <v>6</v>
      </c>
    </row>
    <row r="14" spans="1:7" x14ac:dyDescent="0.2">
      <c r="A14" s="2" t="s">
        <v>2</v>
      </c>
      <c r="B14" s="3">
        <v>0</v>
      </c>
      <c r="C14" s="3">
        <v>3</v>
      </c>
      <c r="D14" s="3">
        <v>13</v>
      </c>
      <c r="E14" s="3">
        <v>16</v>
      </c>
      <c r="F14" s="3">
        <v>9</v>
      </c>
      <c r="G14" s="3">
        <v>15</v>
      </c>
    </row>
    <row r="15" spans="1:7" x14ac:dyDescent="0.2">
      <c r="A15" s="2"/>
      <c r="B15" s="4"/>
      <c r="C15" s="4"/>
      <c r="D15" s="2"/>
      <c r="E15" s="2"/>
      <c r="F15" s="2"/>
      <c r="G15" s="2"/>
    </row>
    <row r="16" spans="1:7" ht="17" thickBot="1" x14ac:dyDescent="0.25">
      <c r="A16" s="1"/>
      <c r="B16" s="29" t="s">
        <v>8</v>
      </c>
      <c r="C16" s="29"/>
      <c r="D16" s="29"/>
      <c r="E16" s="29"/>
      <c r="F16" s="29"/>
      <c r="G16" s="29"/>
    </row>
    <row r="17" spans="1:7" ht="17" thickBot="1" x14ac:dyDescent="0.25">
      <c r="A17" s="10" t="s">
        <v>28</v>
      </c>
      <c r="B17" s="11">
        <v>0</v>
      </c>
      <c r="C17" s="11">
        <v>0.05</v>
      </c>
      <c r="D17" s="12">
        <v>0.1</v>
      </c>
      <c r="E17" s="11">
        <v>0.25</v>
      </c>
      <c r="F17" s="11">
        <v>0.5</v>
      </c>
      <c r="G17" s="13">
        <v>1</v>
      </c>
    </row>
    <row r="18" spans="1:7" x14ac:dyDescent="0.2">
      <c r="A18" s="3" t="s">
        <v>27</v>
      </c>
      <c r="B18" s="3">
        <v>98</v>
      </c>
      <c r="C18" s="3">
        <v>86</v>
      </c>
      <c r="D18" s="3">
        <v>281</v>
      </c>
      <c r="E18" s="3">
        <v>195</v>
      </c>
      <c r="F18" s="3">
        <v>178</v>
      </c>
      <c r="G18" s="3">
        <v>112</v>
      </c>
    </row>
    <row r="19" spans="1:7" x14ac:dyDescent="0.2">
      <c r="A19" s="2" t="s">
        <v>0</v>
      </c>
      <c r="B19" s="3">
        <v>90</v>
      </c>
      <c r="C19" s="3">
        <v>85</v>
      </c>
      <c r="D19" s="3">
        <v>219</v>
      </c>
      <c r="E19" s="3">
        <v>178</v>
      </c>
      <c r="F19" s="3">
        <v>143</v>
      </c>
      <c r="G19" s="3">
        <v>101</v>
      </c>
    </row>
    <row r="20" spans="1:7" x14ac:dyDescent="0.2">
      <c r="A20" s="2" t="s">
        <v>1</v>
      </c>
      <c r="B20" s="3"/>
      <c r="C20" s="3"/>
      <c r="D20" s="3">
        <v>29</v>
      </c>
      <c r="E20" s="3">
        <v>18</v>
      </c>
      <c r="F20" s="3">
        <v>15</v>
      </c>
      <c r="G20" s="3">
        <v>11</v>
      </c>
    </row>
    <row r="21" spans="1:7" x14ac:dyDescent="0.2">
      <c r="A21" s="2" t="s">
        <v>2</v>
      </c>
      <c r="B21" s="3">
        <v>8</v>
      </c>
      <c r="C21" s="3">
        <v>1</v>
      </c>
      <c r="D21" s="3">
        <v>62</v>
      </c>
      <c r="E21" s="3">
        <v>17</v>
      </c>
      <c r="F21" s="3">
        <v>35</v>
      </c>
      <c r="G21" s="3">
        <v>11</v>
      </c>
    </row>
    <row r="23" spans="1:7" x14ac:dyDescent="0.2">
      <c r="A23" t="s">
        <v>29</v>
      </c>
    </row>
    <row r="24" spans="1:7" x14ac:dyDescent="0.2">
      <c r="A24" t="s">
        <v>30</v>
      </c>
    </row>
    <row r="25" spans="1:7" x14ac:dyDescent="0.2">
      <c r="A25" t="s">
        <v>31</v>
      </c>
    </row>
    <row r="26" spans="1:7" x14ac:dyDescent="0.2">
      <c r="A26" s="28" t="s">
        <v>32</v>
      </c>
      <c r="B26" s="28"/>
      <c r="C26" s="28"/>
      <c r="D26" s="28"/>
      <c r="E26" s="28"/>
      <c r="F26" s="28"/>
      <c r="G26" s="28"/>
    </row>
    <row r="27" spans="1:7" ht="17" thickBot="1" x14ac:dyDescent="0.25">
      <c r="A27" s="1"/>
      <c r="B27" s="26" t="s">
        <v>3</v>
      </c>
      <c r="C27" s="26"/>
      <c r="D27" s="26"/>
      <c r="E27" s="26"/>
      <c r="F27" s="26"/>
      <c r="G27" s="26"/>
    </row>
    <row r="28" spans="1:7" ht="17" thickBot="1" x14ac:dyDescent="0.25">
      <c r="A28" s="10" t="s">
        <v>28</v>
      </c>
      <c r="B28" s="11">
        <v>0</v>
      </c>
      <c r="C28" s="11">
        <v>0.05</v>
      </c>
      <c r="D28" s="12">
        <v>0.1</v>
      </c>
      <c r="E28" s="11">
        <v>0.25</v>
      </c>
      <c r="F28" s="11">
        <v>0.5</v>
      </c>
      <c r="G28" s="13">
        <v>1</v>
      </c>
    </row>
    <row r="29" spans="1:7" x14ac:dyDescent="0.2">
      <c r="A29" s="3" t="s">
        <v>4</v>
      </c>
      <c r="B29" s="5">
        <f t="shared" ref="B29:C29" si="0">B5/B4</f>
        <v>0.96928327645051193</v>
      </c>
      <c r="C29" s="5">
        <f t="shared" si="0"/>
        <v>1</v>
      </c>
      <c r="D29" s="5">
        <f>D5/D4</f>
        <v>0.92253521126760563</v>
      </c>
      <c r="E29" s="5">
        <f>E5/E4</f>
        <v>0.97931034482758617</v>
      </c>
      <c r="F29" s="5">
        <f>F5/F4</f>
        <v>0.89565217391304353</v>
      </c>
      <c r="G29" s="5">
        <f>G5/G4</f>
        <v>0.89787234042553188</v>
      </c>
    </row>
    <row r="30" spans="1:7" x14ac:dyDescent="0.2">
      <c r="A30" s="2" t="s">
        <v>5</v>
      </c>
      <c r="B30" s="7">
        <f t="shared" ref="B30:C30" si="1">B7/B4</f>
        <v>3.0716723549488054E-2</v>
      </c>
      <c r="C30" s="7">
        <f t="shared" si="1"/>
        <v>0</v>
      </c>
      <c r="D30" s="7">
        <f>D7/D4</f>
        <v>7.746478873239436E-2</v>
      </c>
      <c r="E30" s="7">
        <f>E7/E4</f>
        <v>2.0689655172413793E-2</v>
      </c>
      <c r="F30" s="7">
        <f>F7/F4</f>
        <v>0.10434782608695652</v>
      </c>
      <c r="G30" s="7">
        <f>G7/G4</f>
        <v>0.10212765957446808</v>
      </c>
    </row>
    <row r="31" spans="1:7" x14ac:dyDescent="0.2">
      <c r="A31" s="2" t="s">
        <v>6</v>
      </c>
      <c r="B31" s="7" t="s">
        <v>22</v>
      </c>
      <c r="C31" s="9" t="s">
        <v>22</v>
      </c>
      <c r="D31" s="7">
        <f>D6/D4</f>
        <v>4.9295774647887321E-2</v>
      </c>
      <c r="E31" s="7">
        <f>E6/E4</f>
        <v>3.4482758620689655E-2</v>
      </c>
      <c r="F31" s="7">
        <f>F6/F4</f>
        <v>9.5652173913043481E-2</v>
      </c>
      <c r="G31" s="7">
        <f>G6/G4</f>
        <v>2.1276595744680851E-2</v>
      </c>
    </row>
    <row r="32" spans="1:7" x14ac:dyDescent="0.2">
      <c r="A32" s="2"/>
      <c r="B32" s="6"/>
      <c r="C32" s="6"/>
      <c r="D32" s="2"/>
      <c r="E32" s="2"/>
      <c r="F32" s="2"/>
      <c r="G32" s="2"/>
    </row>
    <row r="33" spans="1:7" x14ac:dyDescent="0.2">
      <c r="A33" s="2"/>
      <c r="B33" s="2"/>
      <c r="C33" s="2"/>
      <c r="D33" s="2"/>
      <c r="E33" s="2"/>
      <c r="F33" s="2"/>
      <c r="G33" s="2"/>
    </row>
    <row r="34" spans="1:7" ht="17" thickBot="1" x14ac:dyDescent="0.25">
      <c r="A34" s="1"/>
      <c r="B34" s="26" t="s">
        <v>7</v>
      </c>
      <c r="C34" s="26"/>
      <c r="D34" s="26"/>
      <c r="E34" s="26"/>
      <c r="F34" s="26"/>
      <c r="G34" s="26"/>
    </row>
    <row r="35" spans="1:7" ht="17" thickBot="1" x14ac:dyDescent="0.25">
      <c r="A35" s="10" t="s">
        <v>28</v>
      </c>
      <c r="B35" s="11">
        <v>0</v>
      </c>
      <c r="C35" s="11">
        <v>0.05</v>
      </c>
      <c r="D35" s="12">
        <v>0.1</v>
      </c>
      <c r="E35" s="11">
        <v>0.25</v>
      </c>
      <c r="F35" s="11">
        <v>0.5</v>
      </c>
      <c r="G35" s="13">
        <v>1</v>
      </c>
    </row>
    <row r="36" spans="1:7" x14ac:dyDescent="0.2">
      <c r="A36" s="3" t="s">
        <v>4</v>
      </c>
      <c r="B36" s="5">
        <f t="shared" ref="B36:C36" si="2">B12/B11</f>
        <v>1</v>
      </c>
      <c r="C36" s="5">
        <f t="shared" si="2"/>
        <v>0.98961937716262971</v>
      </c>
      <c r="D36" s="5">
        <f>D12/D11</f>
        <v>0.92934782608695654</v>
      </c>
      <c r="E36" s="5">
        <f>E12/E11</f>
        <v>0.93939393939393945</v>
      </c>
      <c r="F36" s="5">
        <f>F12/F11</f>
        <v>0.92436974789915971</v>
      </c>
      <c r="G36" s="5">
        <f>G12/G11</f>
        <v>0.88372093023255816</v>
      </c>
    </row>
    <row r="37" spans="1:7" x14ac:dyDescent="0.2">
      <c r="A37" s="2" t="s">
        <v>5</v>
      </c>
      <c r="B37" s="7">
        <f t="shared" ref="B37:C37" si="3">B14/B11</f>
        <v>0</v>
      </c>
      <c r="C37" s="7">
        <f t="shared" si="3"/>
        <v>1.0380622837370242E-2</v>
      </c>
      <c r="D37" s="7">
        <f>D14/D11</f>
        <v>7.0652173913043473E-2</v>
      </c>
      <c r="E37" s="7">
        <f>E14/E11</f>
        <v>6.0606060606060608E-2</v>
      </c>
      <c r="F37" s="7">
        <f>F14/F11</f>
        <v>7.5630252100840331E-2</v>
      </c>
      <c r="G37" s="7">
        <f>G14/G11</f>
        <v>0.11627906976744186</v>
      </c>
    </row>
    <row r="38" spans="1:7" x14ac:dyDescent="0.2">
      <c r="A38" s="2" t="s">
        <v>6</v>
      </c>
      <c r="B38" s="7" t="s">
        <v>22</v>
      </c>
      <c r="C38" s="9" t="s">
        <v>22</v>
      </c>
      <c r="D38" s="7">
        <f>D13/D11</f>
        <v>0.21739130434782608</v>
      </c>
      <c r="E38" s="7">
        <f>E13/E11</f>
        <v>7.9545454545454544E-2</v>
      </c>
      <c r="F38" s="7">
        <f>F13/F11</f>
        <v>5.0420168067226892E-2</v>
      </c>
      <c r="G38" s="7">
        <f>G13/G11</f>
        <v>4.6511627906976744E-2</v>
      </c>
    </row>
    <row r="39" spans="1:7" x14ac:dyDescent="0.2">
      <c r="A39" s="2"/>
      <c r="B39" s="6"/>
      <c r="C39" s="6"/>
      <c r="D39" s="2"/>
      <c r="E39" s="2"/>
      <c r="F39" s="2"/>
      <c r="G39" s="2"/>
    </row>
    <row r="40" spans="1:7" x14ac:dyDescent="0.2">
      <c r="A40" s="2"/>
      <c r="B40" s="4"/>
      <c r="C40" s="4"/>
      <c r="D40" s="2"/>
      <c r="E40" s="2"/>
      <c r="F40" s="2"/>
      <c r="G40" s="2"/>
    </row>
    <row r="41" spans="1:7" ht="17" thickBot="1" x14ac:dyDescent="0.25">
      <c r="A41" s="1"/>
      <c r="B41" s="26" t="s">
        <v>8</v>
      </c>
      <c r="C41" s="26"/>
      <c r="D41" s="26"/>
      <c r="E41" s="26"/>
      <c r="F41" s="26"/>
      <c r="G41" s="26"/>
    </row>
    <row r="42" spans="1:7" ht="17" thickBot="1" x14ac:dyDescent="0.25">
      <c r="A42" s="10" t="s">
        <v>28</v>
      </c>
      <c r="B42" s="11">
        <v>0</v>
      </c>
      <c r="C42" s="11">
        <v>0.05</v>
      </c>
      <c r="D42" s="12">
        <v>0.1</v>
      </c>
      <c r="E42" s="11">
        <v>0.25</v>
      </c>
      <c r="F42" s="11">
        <v>0.5</v>
      </c>
      <c r="G42" s="13">
        <v>1</v>
      </c>
    </row>
    <row r="43" spans="1:7" x14ac:dyDescent="0.2">
      <c r="A43" s="3" t="s">
        <v>4</v>
      </c>
      <c r="B43" s="5">
        <f t="shared" ref="B43:C43" si="4">B19/B18</f>
        <v>0.91836734693877553</v>
      </c>
      <c r="C43" s="5">
        <f t="shared" si="4"/>
        <v>0.98837209302325579</v>
      </c>
      <c r="D43" s="5">
        <f>D19/D18</f>
        <v>0.77935943060498225</v>
      </c>
      <c r="E43" s="5">
        <f>E19/E18</f>
        <v>0.9128205128205128</v>
      </c>
      <c r="F43" s="5">
        <f>F19/F18</f>
        <v>0.8033707865168539</v>
      </c>
      <c r="G43" s="5">
        <f>G19/G18</f>
        <v>0.9017857142857143</v>
      </c>
    </row>
    <row r="44" spans="1:7" x14ac:dyDescent="0.2">
      <c r="A44" s="2" t="s">
        <v>5</v>
      </c>
      <c r="B44" s="7">
        <f t="shared" ref="B44:C44" si="5">B21/B18</f>
        <v>8.1632653061224483E-2</v>
      </c>
      <c r="C44" s="7">
        <f t="shared" si="5"/>
        <v>1.1627906976744186E-2</v>
      </c>
      <c r="D44" s="7">
        <f>D21/D18</f>
        <v>0.2206405693950178</v>
      </c>
      <c r="E44" s="7">
        <f>E21/E18</f>
        <v>8.7179487179487175E-2</v>
      </c>
      <c r="F44" s="7">
        <f>F21/F18</f>
        <v>0.19662921348314608</v>
      </c>
      <c r="G44" s="7">
        <f>G21/G18</f>
        <v>9.8214285714285712E-2</v>
      </c>
    </row>
    <row r="45" spans="1:7" x14ac:dyDescent="0.2">
      <c r="A45" s="2" t="s">
        <v>6</v>
      </c>
      <c r="B45" s="7" t="s">
        <v>22</v>
      </c>
      <c r="C45" s="9" t="s">
        <v>22</v>
      </c>
      <c r="D45" s="7">
        <f>D20/D18</f>
        <v>0.10320284697508897</v>
      </c>
      <c r="E45" s="7">
        <f>E20/E18</f>
        <v>9.2307692307692313E-2</v>
      </c>
      <c r="F45" s="7">
        <f>F20/F18</f>
        <v>8.4269662921348312E-2</v>
      </c>
      <c r="G45" s="7">
        <f>G20/G18</f>
        <v>9.8214285714285712E-2</v>
      </c>
    </row>
    <row r="46" spans="1:7" x14ac:dyDescent="0.2">
      <c r="A46" s="2"/>
      <c r="B46" s="6"/>
      <c r="C46" s="6"/>
      <c r="D46" s="2"/>
      <c r="E46" s="2"/>
      <c r="F46" s="2"/>
      <c r="G46" s="2"/>
    </row>
    <row r="49" spans="1:7" ht="17" thickBot="1" x14ac:dyDescent="0.25">
      <c r="A49" s="1"/>
      <c r="B49" s="26" t="s">
        <v>9</v>
      </c>
      <c r="C49" s="26"/>
      <c r="D49" s="26"/>
      <c r="E49" s="26"/>
      <c r="F49" s="26"/>
      <c r="G49" s="26"/>
    </row>
    <row r="50" spans="1:7" ht="17" thickBot="1" x14ac:dyDescent="0.25">
      <c r="A50" s="10" t="s">
        <v>28</v>
      </c>
      <c r="B50" s="11">
        <v>0</v>
      </c>
      <c r="C50" s="11">
        <v>0.05</v>
      </c>
      <c r="D50" s="12">
        <v>0.1</v>
      </c>
      <c r="E50" s="11">
        <v>0.25</v>
      </c>
      <c r="F50" s="11">
        <v>0.5</v>
      </c>
      <c r="G50" s="13">
        <v>1</v>
      </c>
    </row>
    <row r="51" spans="1:7" x14ac:dyDescent="0.2">
      <c r="A51" s="3" t="s">
        <v>4</v>
      </c>
      <c r="B51" s="5">
        <f t="shared" ref="B51" si="6">AVERAGE(B43,B36,B29)</f>
        <v>0.96255020779642919</v>
      </c>
      <c r="C51" s="5">
        <f>AVERAGE(C43,C36,C29)</f>
        <v>0.99266382339529524</v>
      </c>
      <c r="D51" s="5">
        <f>AVERAGE(D43,D36,D29)</f>
        <v>0.87708082265318144</v>
      </c>
      <c r="E51" s="5">
        <f>AVERAGE(E43,E36,E29)</f>
        <v>0.94384159901401288</v>
      </c>
      <c r="F51" s="5">
        <f>AVERAGE(F43,F36,F29)</f>
        <v>0.87446423610968571</v>
      </c>
      <c r="G51" s="5">
        <f t="shared" ref="D51:G53" si="7">AVERAGE(G43,G36,G29)</f>
        <v>0.89445966164793467</v>
      </c>
    </row>
    <row r="52" spans="1:7" x14ac:dyDescent="0.2">
      <c r="A52" s="2" t="s">
        <v>5</v>
      </c>
      <c r="B52" s="5">
        <f t="shared" ref="B52:C52" si="8">AVERAGE(B44,B37,B30)</f>
        <v>3.7449792203570843E-2</v>
      </c>
      <c r="C52" s="5">
        <f t="shared" si="8"/>
        <v>7.3361766047048095E-3</v>
      </c>
      <c r="D52" s="5">
        <f t="shared" si="7"/>
        <v>0.12291917734681855</v>
      </c>
      <c r="E52" s="5">
        <f t="shared" si="7"/>
        <v>5.6158400985987199E-2</v>
      </c>
      <c r="F52" s="5">
        <f>AVERAGE(F44,F37,F30)</f>
        <v>0.12553576389031432</v>
      </c>
      <c r="G52" s="5">
        <f>AVERAGE(G44,G37,G30)</f>
        <v>0.10554033835206522</v>
      </c>
    </row>
    <row r="53" spans="1:7" x14ac:dyDescent="0.2">
      <c r="A53" s="2" t="s">
        <v>6</v>
      </c>
      <c r="B53" s="7" t="s">
        <v>22</v>
      </c>
      <c r="C53" s="9" t="s">
        <v>22</v>
      </c>
      <c r="D53" s="5">
        <f t="shared" si="7"/>
        <v>0.12329664199026745</v>
      </c>
      <c r="E53" s="5">
        <f t="shared" si="7"/>
        <v>6.8778635157945509E-2</v>
      </c>
      <c r="F53" s="5">
        <f t="shared" si="7"/>
        <v>7.6780668300539562E-2</v>
      </c>
      <c r="G53" s="5">
        <f t="shared" si="7"/>
        <v>5.5334169788647775E-2</v>
      </c>
    </row>
    <row r="54" spans="1:7" x14ac:dyDescent="0.2">
      <c r="A54" s="2"/>
      <c r="B54" s="6"/>
      <c r="C54" s="6"/>
      <c r="D54" s="2"/>
      <c r="E54" s="2"/>
      <c r="F54" s="2"/>
      <c r="G54" s="2"/>
    </row>
    <row r="56" spans="1:7" ht="17" thickBot="1" x14ac:dyDescent="0.25">
      <c r="A56" s="1"/>
      <c r="B56" s="26" t="s">
        <v>20</v>
      </c>
      <c r="C56" s="26"/>
      <c r="D56" s="26"/>
      <c r="E56" s="26"/>
      <c r="F56" s="26"/>
      <c r="G56" s="26"/>
    </row>
    <row r="57" spans="1:7" ht="17" thickBot="1" x14ac:dyDescent="0.25">
      <c r="A57" s="10" t="s">
        <v>28</v>
      </c>
      <c r="B57" s="11">
        <v>0</v>
      </c>
      <c r="C57" s="11">
        <v>0.05</v>
      </c>
      <c r="D57" s="12">
        <v>0.1</v>
      </c>
      <c r="E57" s="11">
        <v>0.25</v>
      </c>
      <c r="F57" s="11">
        <v>0.5</v>
      </c>
      <c r="G57" s="13">
        <v>1</v>
      </c>
    </row>
    <row r="58" spans="1:7" x14ac:dyDescent="0.2">
      <c r="A58" s="3" t="s">
        <v>4</v>
      </c>
      <c r="B58" s="5">
        <f>STDEV(B43,B36,B29)</f>
        <v>4.1230730912500256E-2</v>
      </c>
      <c r="C58" s="5">
        <f t="shared" ref="C58" si="9">STDEV(C43,C36,C29)</f>
        <v>6.3838503125188736E-3</v>
      </c>
      <c r="D58" s="5">
        <f>STDEV(D43,D36,D29)</f>
        <v>8.4697731835318951E-2</v>
      </c>
      <c r="E58" s="5">
        <f>STDEV(E43,E36,E29)</f>
        <v>3.3467307886267651E-2</v>
      </c>
      <c r="F58" s="5">
        <f t="shared" ref="D58:G60" si="10">STDEV(F43,F36,F29)</f>
        <v>6.3220911850181361E-2</v>
      </c>
      <c r="G58" s="5">
        <f t="shared" si="10"/>
        <v>9.5036249952892924E-3</v>
      </c>
    </row>
    <row r="59" spans="1:7" x14ac:dyDescent="0.2">
      <c r="A59" s="2" t="s">
        <v>5</v>
      </c>
      <c r="B59" s="5">
        <f>STDEV(B44,B37,B30)</f>
        <v>4.1230730912500263E-2</v>
      </c>
      <c r="C59" s="5">
        <f t="shared" ref="C59" si="11">STDEV(C44,C37,C30)</f>
        <v>6.3838503125188554E-3</v>
      </c>
      <c r="D59" s="5">
        <f t="shared" si="10"/>
        <v>8.4697731835318993E-2</v>
      </c>
      <c r="E59" s="5">
        <f t="shared" si="10"/>
        <v>3.3467307886267665E-2</v>
      </c>
      <c r="F59" s="5">
        <f>STDEV(F44,F37,F30)</f>
        <v>6.3220911850181333E-2</v>
      </c>
      <c r="G59" s="5">
        <f t="shared" si="10"/>
        <v>9.5036249952893011E-3</v>
      </c>
    </row>
    <row r="60" spans="1:7" x14ac:dyDescent="0.2">
      <c r="A60" s="2" t="s">
        <v>6</v>
      </c>
      <c r="B60" s="7" t="s">
        <v>22</v>
      </c>
      <c r="C60" s="9" t="s">
        <v>22</v>
      </c>
      <c r="D60" s="5">
        <f t="shared" si="10"/>
        <v>8.5830339768987102E-2</v>
      </c>
      <c r="E60" s="5">
        <f t="shared" si="10"/>
        <v>3.0378841958985103E-2</v>
      </c>
      <c r="F60" s="5">
        <f t="shared" si="10"/>
        <v>2.3527587392928182E-2</v>
      </c>
      <c r="G60" s="5">
        <f>STDEV(G45,G38,G31)</f>
        <v>3.9220274965955274E-2</v>
      </c>
    </row>
    <row r="61" spans="1:7" x14ac:dyDescent="0.2">
      <c r="A61" s="2"/>
      <c r="B61" s="6"/>
      <c r="C61" s="6"/>
      <c r="D61" s="2"/>
      <c r="E61" s="2"/>
      <c r="F61" s="2"/>
      <c r="G61" s="2"/>
    </row>
    <row r="63" spans="1:7" ht="17" thickBot="1" x14ac:dyDescent="0.25">
      <c r="A63" s="1"/>
      <c r="B63" s="26" t="s">
        <v>21</v>
      </c>
      <c r="C63" s="26"/>
      <c r="D63" s="26"/>
      <c r="E63" s="26"/>
      <c r="F63" s="26"/>
      <c r="G63" s="26"/>
    </row>
    <row r="64" spans="1:7" ht="17" thickBot="1" x14ac:dyDescent="0.25">
      <c r="A64" s="14" t="s">
        <v>28</v>
      </c>
      <c r="B64" s="15">
        <v>0</v>
      </c>
      <c r="C64" s="15">
        <v>0.05</v>
      </c>
      <c r="D64" s="16">
        <v>0.1</v>
      </c>
      <c r="E64" s="15">
        <v>0.25</v>
      </c>
      <c r="F64" s="15">
        <v>0.5</v>
      </c>
      <c r="G64" s="17">
        <v>1</v>
      </c>
    </row>
    <row r="65" spans="1:7" x14ac:dyDescent="0.2">
      <c r="A65" s="18" t="s">
        <v>33</v>
      </c>
      <c r="B65" s="8" t="s">
        <v>23</v>
      </c>
      <c r="C65" s="8" t="s">
        <v>25</v>
      </c>
      <c r="D65" s="19" t="s">
        <v>11</v>
      </c>
      <c r="E65" s="19" t="s">
        <v>12</v>
      </c>
      <c r="F65" s="19" t="s">
        <v>15</v>
      </c>
      <c r="G65" s="20" t="s">
        <v>18</v>
      </c>
    </row>
    <row r="66" spans="1:7" x14ac:dyDescent="0.2">
      <c r="A66" s="21" t="s">
        <v>34</v>
      </c>
      <c r="B66" s="4" t="s">
        <v>24</v>
      </c>
      <c r="C66" s="4" t="s">
        <v>26</v>
      </c>
      <c r="D66" s="19" t="s">
        <v>38</v>
      </c>
      <c r="E66" s="19" t="s">
        <v>13</v>
      </c>
      <c r="F66" s="19" t="s">
        <v>16</v>
      </c>
      <c r="G66" s="20" t="s">
        <v>37</v>
      </c>
    </row>
    <row r="67" spans="1:7" ht="17" thickBot="1" x14ac:dyDescent="0.25">
      <c r="A67" s="22" t="s">
        <v>35</v>
      </c>
      <c r="B67" s="23" t="s">
        <v>22</v>
      </c>
      <c r="C67" s="23" t="s">
        <v>22</v>
      </c>
      <c r="D67" s="24" t="s">
        <v>10</v>
      </c>
      <c r="E67" s="24" t="s">
        <v>14</v>
      </c>
      <c r="F67" s="24" t="s">
        <v>17</v>
      </c>
      <c r="G67" s="25" t="s">
        <v>19</v>
      </c>
    </row>
  </sheetData>
  <mergeCells count="11">
    <mergeCell ref="B49:G49"/>
    <mergeCell ref="B56:G56"/>
    <mergeCell ref="B63:G63"/>
    <mergeCell ref="A1:G1"/>
    <mergeCell ref="A26:G26"/>
    <mergeCell ref="B27:G27"/>
    <mergeCell ref="B34:G34"/>
    <mergeCell ref="B41:G41"/>
    <mergeCell ref="B16:G16"/>
    <mergeCell ref="B2:G2"/>
    <mergeCell ref="B9:G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a8f713-fea2-41f8-ba53-25c864bb5e37">
      <Terms xmlns="http://schemas.microsoft.com/office/infopath/2007/PartnerControls"/>
    </lcf76f155ced4ddcb4097134ff3c332f>
    <TaxCatchAll xmlns="00a22d95-5ba0-4c78-bccf-20810623e2d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5D06A7944AE78489083B264BB9E4F6F" ma:contentTypeVersion="16" ma:contentTypeDescription="Create a new document." ma:contentTypeScope="" ma:versionID="8b1ee1b0f393cb97b2461bcddbbe3c1c">
  <xsd:schema xmlns:xsd="http://www.w3.org/2001/XMLSchema" xmlns:xs="http://www.w3.org/2001/XMLSchema" xmlns:p="http://schemas.microsoft.com/office/2006/metadata/properties" xmlns:ns2="38a8f713-fea2-41f8-ba53-25c864bb5e37" xmlns:ns3="00a22d95-5ba0-4c78-bccf-20810623e2dd" targetNamespace="http://schemas.microsoft.com/office/2006/metadata/properties" ma:root="true" ma:fieldsID="f90e0324a3f7763103a1a488a14e73e1" ns2:_="" ns3:_="">
    <xsd:import namespace="38a8f713-fea2-41f8-ba53-25c864bb5e37"/>
    <xsd:import namespace="00a22d95-5ba0-4c78-bccf-20810623e2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8f713-fea2-41f8-ba53-25c864bb5e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aaf764-73f0-4b4c-b8e1-b7d465e080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22d95-5ba0-4c78-bccf-20810623e2d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7f5d237-ff10-4cf8-aa81-bbf4960ce5b2}" ma:internalName="TaxCatchAll" ma:showField="CatchAllData" ma:web="00a22d95-5ba0-4c78-bccf-20810623e2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368068-7531-407A-971A-FB308BB1FE2F}">
  <ds:schemaRefs>
    <ds:schemaRef ds:uri="http://purl.org/dc/dcmitype/"/>
    <ds:schemaRef ds:uri="http://purl.org/dc/terms/"/>
    <ds:schemaRef ds:uri="http://schemas.microsoft.com/office/2006/metadata/properties"/>
    <ds:schemaRef ds:uri="38a8f713-fea2-41f8-ba53-25c864bb5e37"/>
    <ds:schemaRef ds:uri="http://purl.org/dc/elements/1.1/"/>
    <ds:schemaRef ds:uri="00a22d95-5ba0-4c78-bccf-20810623e2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AE680BE-BBF7-416B-B854-6354C09B21C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57724C-DC55-46C7-90DE-323FB27EBC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Arav Saherwala</dc:creator>
  <cp:lastModifiedBy>Arav Saherwala</cp:lastModifiedBy>
  <dcterms:created xsi:type="dcterms:W3CDTF">2025-12-18T05:32:59Z</dcterms:created>
  <dcterms:modified xsi:type="dcterms:W3CDTF">2026-01-28T06:11:01Z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0x010100D5D06A7944AE78489083B264BB9E4F6F</vt:lpwstr>
  </property>
  <property fmtid="{D5CDD505-2E9C-101B-9397-08002B2CF9AE}" pid="3" name="MediaServiceImageTags">
    <vt:lpwstr/>
  </property>
</Properties>
</file>